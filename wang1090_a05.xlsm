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d6f2aee1976e719/CS/CP212/"/>
    </mc:Choice>
  </mc:AlternateContent>
  <xr:revisionPtr revIDLastSave="12843" documentId="8_{1AB61B6F-44C6-44CC-98D1-779FFD358392}" xr6:coauthVersionLast="47" xr6:coauthVersionMax="47" xr10:uidLastSave="{3563276B-FDCF-4B30-865A-4C818971391B}"/>
  <bookViews>
    <workbookView xWindow="-120" yWindow="-120" windowWidth="51840" windowHeight="21240" activeTab="1" xr2:uid="{B9AD2C58-559B-40AD-8085-2E866352D0DD}"/>
  </bookViews>
  <sheets>
    <sheet name="Index" sheetId="1" r:id="rId1"/>
    <sheet name="Data" sheetId="6" r:id="rId2"/>
  </sheets>
  <functionGroups builtInGroupCount="19"/>
  <definedNames>
    <definedName name="_xlchart.v1.0" hidden="1">Data!$L$2:$L$14</definedName>
    <definedName name="_xlchart.v1.1" hidden="1">Data!$N$2:$N$14</definedName>
    <definedName name="Assignment1">Data!$D$6:$D$55</definedName>
    <definedName name="Assignment2">Data!$E$6:$E$55</definedName>
    <definedName name="Assignment3">Data!$F$6:$F$55</definedName>
    <definedName name="Assignment4">Data!$G$6:$G$55</definedName>
    <definedName name="Exam">Data!$I$6:$I$55</definedName>
    <definedName name="GPA">Data!$J$6:$J$55</definedName>
    <definedName name="MidTerm">Data!$H$6:$H$55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6" l="1"/>
  <c r="D1" i="6"/>
  <c r="V7" i="6"/>
  <c r="U7" i="6"/>
  <c r="T7" i="6"/>
  <c r="S7" i="6"/>
  <c r="R7" i="6"/>
  <c r="Q7" i="6"/>
  <c r="V6" i="6"/>
  <c r="U6" i="6"/>
  <c r="T6" i="6"/>
  <c r="S6" i="6"/>
  <c r="R6" i="6"/>
  <c r="Q6" i="6"/>
  <c r="V5" i="6"/>
  <c r="U5" i="6"/>
  <c r="T5" i="6"/>
  <c r="S5" i="6"/>
  <c r="R5" i="6"/>
  <c r="Q5" i="6"/>
  <c r="V4" i="6"/>
  <c r="V3" i="6"/>
  <c r="U4" i="6"/>
  <c r="U3" i="6"/>
  <c r="T4" i="6"/>
  <c r="T3" i="6"/>
  <c r="S4" i="6"/>
  <c r="S3" i="6"/>
  <c r="R4" i="6"/>
  <c r="R3" i="6"/>
  <c r="Q4" i="6"/>
  <c r="Q3" i="6"/>
  <c r="V2" i="6"/>
  <c r="U2" i="6"/>
  <c r="T2" i="6"/>
  <c r="S2" i="6"/>
  <c r="R2" i="6"/>
  <c r="Q2" i="6"/>
  <c r="F2" i="6"/>
  <c r="F1" i="6"/>
  <c r="N2" i="6" a="1"/>
  <c r="N2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<sst xmlns="http://schemas.openxmlformats.org/spreadsheetml/2006/main" count="195" uniqueCount="189">
  <si>
    <t>Standard Deviation of current table</t>
    <phoneticPr fontId="1" type="noConversion"/>
  </si>
  <si>
    <t>Course</t>
    <phoneticPr fontId="1" type="noConversion"/>
  </si>
  <si>
    <t>Student ID</t>
    <phoneticPr fontId="1" type="noConversion"/>
  </si>
  <si>
    <t>First Name</t>
    <phoneticPr fontId="1" type="noConversion"/>
  </si>
  <si>
    <t>Last Name</t>
    <phoneticPr fontId="1" type="noConversion"/>
  </si>
  <si>
    <t>A1</t>
    <phoneticPr fontId="1" type="noConversion"/>
  </si>
  <si>
    <t>A2</t>
    <phoneticPr fontId="1" type="noConversion"/>
  </si>
  <si>
    <t>A3</t>
    <phoneticPr fontId="1" type="noConversion"/>
  </si>
  <si>
    <t>A4</t>
    <phoneticPr fontId="1" type="noConversion"/>
  </si>
  <si>
    <t>Mid Term</t>
    <phoneticPr fontId="1" type="noConversion"/>
  </si>
  <si>
    <t>Exam</t>
    <phoneticPr fontId="1" type="noConversion"/>
  </si>
  <si>
    <t>Total GPA</t>
    <phoneticPr fontId="1" type="noConversion"/>
  </si>
  <si>
    <t>2015_1</t>
    <phoneticPr fontId="1" type="noConversion"/>
  </si>
  <si>
    <t>Syrena</t>
    <phoneticPr fontId="1" type="noConversion"/>
  </si>
  <si>
    <t>Endivain</t>
    <phoneticPr fontId="1" type="noConversion"/>
  </si>
  <si>
    <t>2015_10</t>
    <phoneticPr fontId="1" type="noConversion"/>
  </si>
  <si>
    <t>Kahar</t>
    <phoneticPr fontId="1" type="noConversion"/>
  </si>
  <si>
    <t>Donos</t>
    <phoneticPr fontId="1" type="noConversion"/>
  </si>
  <si>
    <t>2015_11</t>
    <phoneticPr fontId="1" type="noConversion"/>
  </si>
  <si>
    <t>Zae</t>
    <phoneticPr fontId="1" type="noConversion"/>
  </si>
  <si>
    <t>Kaiser</t>
    <phoneticPr fontId="1" type="noConversion"/>
  </si>
  <si>
    <t>2015_12</t>
    <phoneticPr fontId="1" type="noConversion"/>
  </si>
  <si>
    <t>Koro</t>
    <phoneticPr fontId="1" type="noConversion"/>
  </si>
  <si>
    <t>Magre</t>
    <phoneticPr fontId="1" type="noConversion"/>
  </si>
  <si>
    <t>2015_13</t>
    <phoneticPr fontId="1" type="noConversion"/>
  </si>
  <si>
    <t>Lenders</t>
    <phoneticPr fontId="1" type="noConversion"/>
  </si>
  <si>
    <t>Turon</t>
    <phoneticPr fontId="1" type="noConversion"/>
  </si>
  <si>
    <t>2015_14</t>
    <phoneticPr fontId="1" type="noConversion"/>
  </si>
  <si>
    <t>Mala</t>
    <phoneticPr fontId="1" type="noConversion"/>
  </si>
  <si>
    <t>Varless</t>
    <phoneticPr fontId="1" type="noConversion"/>
  </si>
  <si>
    <t>2015_15</t>
    <phoneticPr fontId="1" type="noConversion"/>
  </si>
  <si>
    <t>Jag</t>
    <phoneticPr fontId="1" type="noConversion"/>
  </si>
  <si>
    <t>Nafeel</t>
    <phoneticPr fontId="1" type="noConversion"/>
  </si>
  <si>
    <t>2015_16</t>
    <phoneticPr fontId="1" type="noConversion"/>
  </si>
  <si>
    <t>Innoruuk</t>
    <phoneticPr fontId="1" type="noConversion"/>
  </si>
  <si>
    <t>Finn</t>
    <phoneticPr fontId="1" type="noConversion"/>
  </si>
  <si>
    <t>2015_17</t>
    <phoneticPr fontId="1" type="noConversion"/>
  </si>
  <si>
    <t>Keever</t>
    <phoneticPr fontId="1" type="noConversion"/>
  </si>
  <si>
    <t>Phrog</t>
    <phoneticPr fontId="1" type="noConversion"/>
  </si>
  <si>
    <t>2015_18</t>
    <phoneticPr fontId="1" type="noConversion"/>
  </si>
  <si>
    <t>Kaarl</t>
    <phoneticPr fontId="1" type="noConversion"/>
  </si>
  <si>
    <t>Nooram</t>
    <phoneticPr fontId="1" type="noConversion"/>
  </si>
  <si>
    <t>2015_19</t>
    <phoneticPr fontId="1" type="noConversion"/>
  </si>
  <si>
    <t>Tomas</t>
    <phoneticPr fontId="1" type="noConversion"/>
  </si>
  <si>
    <t>Pescer</t>
    <phoneticPr fontId="1" type="noConversion"/>
  </si>
  <si>
    <t>2015_2</t>
    <phoneticPr fontId="1" type="noConversion"/>
  </si>
  <si>
    <t>Irizon</t>
    <phoneticPr fontId="1" type="noConversion"/>
  </si>
  <si>
    <t>Exibil</t>
    <phoneticPr fontId="1" type="noConversion"/>
  </si>
  <si>
    <t>2015_20</t>
    <phoneticPr fontId="1" type="noConversion"/>
  </si>
  <si>
    <t>Allen</t>
    <phoneticPr fontId="1" type="noConversion"/>
  </si>
  <si>
    <t>Bernard</t>
    <phoneticPr fontId="1" type="noConversion"/>
  </si>
  <si>
    <t>2015_21</t>
    <phoneticPr fontId="1" type="noConversion"/>
  </si>
  <si>
    <t>Strilath</t>
    <phoneticPr fontId="1" type="noConversion"/>
  </si>
  <si>
    <t>Mnaa</t>
    <phoneticPr fontId="1" type="noConversion"/>
  </si>
  <si>
    <t>2015_22</t>
    <phoneticPr fontId="1" type="noConversion"/>
  </si>
  <si>
    <t>Tomra</t>
    <phoneticPr fontId="1" type="noConversion"/>
  </si>
  <si>
    <t>Yavoog</t>
    <phoneticPr fontId="1" type="noConversion"/>
  </si>
  <si>
    <t>2015_23</t>
    <phoneticPr fontId="1" type="noConversion"/>
  </si>
  <si>
    <t>Adoniram</t>
    <phoneticPr fontId="1" type="noConversion"/>
  </si>
  <si>
    <t>Vadith</t>
    <phoneticPr fontId="1" type="noConversion"/>
  </si>
  <si>
    <t>2015_24</t>
    <phoneticPr fontId="1" type="noConversion"/>
  </si>
  <si>
    <t>Braganti</t>
    <phoneticPr fontId="1" type="noConversion"/>
  </si>
  <si>
    <t>Sudime</t>
    <phoneticPr fontId="1" type="noConversion"/>
  </si>
  <si>
    <t>2015_25</t>
    <phoneticPr fontId="1" type="noConversion"/>
  </si>
  <si>
    <t>Oren</t>
    <phoneticPr fontId="1" type="noConversion"/>
  </si>
  <si>
    <t>Haruhana</t>
    <phoneticPr fontId="1" type="noConversion"/>
  </si>
  <si>
    <t>2015_26</t>
    <phoneticPr fontId="1" type="noConversion"/>
  </si>
  <si>
    <t>Reiko</t>
    <phoneticPr fontId="1" type="noConversion"/>
  </si>
  <si>
    <t>Erelen</t>
    <phoneticPr fontId="1" type="noConversion"/>
  </si>
  <si>
    <t>2015_27</t>
    <phoneticPr fontId="1" type="noConversion"/>
  </si>
  <si>
    <t>Jakuu</t>
    <phoneticPr fontId="1" type="noConversion"/>
  </si>
  <si>
    <t>Hawkes</t>
    <phoneticPr fontId="1" type="noConversion"/>
  </si>
  <si>
    <t>2015_28</t>
    <phoneticPr fontId="1" type="noConversion"/>
  </si>
  <si>
    <t>Tifa</t>
    <phoneticPr fontId="1" type="noConversion"/>
  </si>
  <si>
    <t>Nere</t>
    <phoneticPr fontId="1" type="noConversion"/>
  </si>
  <si>
    <t>2015_29</t>
    <phoneticPr fontId="1" type="noConversion"/>
  </si>
  <si>
    <t>Adan</t>
    <phoneticPr fontId="1" type="noConversion"/>
  </si>
  <si>
    <t>Mackali</t>
    <phoneticPr fontId="1" type="noConversion"/>
  </si>
  <si>
    <t>2015_3</t>
    <phoneticPr fontId="1" type="noConversion"/>
  </si>
  <si>
    <t>Del-Nara</t>
    <phoneticPr fontId="1" type="noConversion"/>
  </si>
  <si>
    <t>Cardan</t>
    <phoneticPr fontId="1" type="noConversion"/>
  </si>
  <si>
    <t>2015_30</t>
    <phoneticPr fontId="1" type="noConversion"/>
  </si>
  <si>
    <t>Xerda</t>
    <phoneticPr fontId="1" type="noConversion"/>
  </si>
  <si>
    <t>Duann</t>
    <phoneticPr fontId="1" type="noConversion"/>
  </si>
  <si>
    <t>2015_31</t>
    <phoneticPr fontId="1" type="noConversion"/>
  </si>
  <si>
    <t>Lila</t>
    <phoneticPr fontId="1" type="noConversion"/>
  </si>
  <si>
    <t>Bintaghr</t>
    <phoneticPr fontId="1" type="noConversion"/>
  </si>
  <si>
    <t>2015_32</t>
    <phoneticPr fontId="1" type="noConversion"/>
  </si>
  <si>
    <t>Noah</t>
    <phoneticPr fontId="1" type="noConversion"/>
  </si>
  <si>
    <t>Rohtul</t>
    <phoneticPr fontId="1" type="noConversion"/>
  </si>
  <si>
    <t>2015_33</t>
    <phoneticPr fontId="1" type="noConversion"/>
  </si>
  <si>
    <t>Yiukie</t>
    <phoneticPr fontId="1" type="noConversion"/>
  </si>
  <si>
    <t>Eronoss</t>
    <phoneticPr fontId="1" type="noConversion"/>
  </si>
  <si>
    <t>2015_34</t>
    <phoneticPr fontId="1" type="noConversion"/>
  </si>
  <si>
    <t>Kai</t>
    <phoneticPr fontId="1" type="noConversion"/>
  </si>
  <si>
    <t>Dalgas</t>
    <phoneticPr fontId="1" type="noConversion"/>
  </si>
  <si>
    <t>2015_35</t>
    <phoneticPr fontId="1" type="noConversion"/>
  </si>
  <si>
    <t>Tobian</t>
    <phoneticPr fontId="1" type="noConversion"/>
  </si>
  <si>
    <t>Tarmin</t>
    <phoneticPr fontId="1" type="noConversion"/>
  </si>
  <si>
    <t>2015_36</t>
    <phoneticPr fontId="1" type="noConversion"/>
  </si>
  <si>
    <t>Gaeton</t>
    <phoneticPr fontId="1" type="noConversion"/>
  </si>
  <si>
    <t>Lerann</t>
    <phoneticPr fontId="1" type="noConversion"/>
  </si>
  <si>
    <t>2015_37</t>
    <phoneticPr fontId="1" type="noConversion"/>
  </si>
  <si>
    <t>Montross</t>
    <phoneticPr fontId="1" type="noConversion"/>
  </si>
  <si>
    <t>Anarth</t>
    <phoneticPr fontId="1" type="noConversion"/>
  </si>
  <si>
    <t>2015_38</t>
    <phoneticPr fontId="1" type="noConversion"/>
  </si>
  <si>
    <t>Karn</t>
    <phoneticPr fontId="1" type="noConversion"/>
  </si>
  <si>
    <t>Tong</t>
    <phoneticPr fontId="1" type="noConversion"/>
  </si>
  <si>
    <t>2015_39</t>
    <phoneticPr fontId="1" type="noConversion"/>
  </si>
  <si>
    <t>Tendra</t>
    <phoneticPr fontId="1" type="noConversion"/>
  </si>
  <si>
    <t>Olgad</t>
    <phoneticPr fontId="1" type="noConversion"/>
  </si>
  <si>
    <t>2015_4</t>
    <phoneticPr fontId="1" type="noConversion"/>
  </si>
  <si>
    <t>Ara</t>
    <phoneticPr fontId="1" type="noConversion"/>
  </si>
  <si>
    <t>Zerga</t>
    <phoneticPr fontId="1" type="noConversion"/>
  </si>
  <si>
    <t>2015_40</t>
    <phoneticPr fontId="1" type="noConversion"/>
  </si>
  <si>
    <t>Ubinaarisan</t>
    <phoneticPr fontId="1" type="noConversion"/>
  </si>
  <si>
    <t>Shaknaw</t>
    <phoneticPr fontId="1" type="noConversion"/>
  </si>
  <si>
    <t>2015_41</t>
    <phoneticPr fontId="1" type="noConversion"/>
  </si>
  <si>
    <t>Tarash</t>
    <phoneticPr fontId="1" type="noConversion"/>
  </si>
  <si>
    <t>Selkayim</t>
    <phoneticPr fontId="1" type="noConversion"/>
  </si>
  <si>
    <t>2015_42</t>
    <phoneticPr fontId="1" type="noConversion"/>
  </si>
  <si>
    <t>Shivas</t>
    <phoneticPr fontId="1" type="noConversion"/>
  </si>
  <si>
    <t>Leqarna</t>
    <phoneticPr fontId="1" type="noConversion"/>
  </si>
  <si>
    <t>2015_43</t>
    <phoneticPr fontId="1" type="noConversion"/>
  </si>
  <si>
    <t>Akana</t>
    <phoneticPr fontId="1" type="noConversion"/>
  </si>
  <si>
    <t>Morrow</t>
    <phoneticPr fontId="1" type="noConversion"/>
  </si>
  <si>
    <t>2015_44</t>
    <phoneticPr fontId="1" type="noConversion"/>
  </si>
  <si>
    <t>Kristofer</t>
    <phoneticPr fontId="1" type="noConversion"/>
  </si>
  <si>
    <t>Kriek Kolbrun</t>
    <phoneticPr fontId="1" type="noConversion"/>
  </si>
  <si>
    <t>2015_45</t>
    <phoneticPr fontId="1" type="noConversion"/>
  </si>
  <si>
    <t>Roth</t>
    <phoneticPr fontId="1" type="noConversion"/>
  </si>
  <si>
    <t>We</t>
    <phoneticPr fontId="1" type="noConversion"/>
  </si>
  <si>
    <t>2015_46</t>
    <phoneticPr fontId="1" type="noConversion"/>
  </si>
  <si>
    <t>Roy</t>
    <phoneticPr fontId="1" type="noConversion"/>
  </si>
  <si>
    <t>Starwalker</t>
    <phoneticPr fontId="1" type="noConversion"/>
  </si>
  <si>
    <t>2015_47</t>
    <phoneticPr fontId="1" type="noConversion"/>
  </si>
  <si>
    <t>Dorn</t>
    <phoneticPr fontId="1" type="noConversion"/>
  </si>
  <si>
    <t>Shysha</t>
    <phoneticPr fontId="1" type="noConversion"/>
  </si>
  <si>
    <t>2015_48</t>
    <phoneticPr fontId="1" type="noConversion"/>
  </si>
  <si>
    <t>Karva</t>
    <phoneticPr fontId="1" type="noConversion"/>
  </si>
  <si>
    <t>Shapris</t>
    <phoneticPr fontId="1" type="noConversion"/>
  </si>
  <si>
    <t>2015_49</t>
    <phoneticPr fontId="1" type="noConversion"/>
  </si>
  <si>
    <t>Cess</t>
    <phoneticPr fontId="1" type="noConversion"/>
  </si>
  <si>
    <t>Zayelt</t>
    <phoneticPr fontId="1" type="noConversion"/>
  </si>
  <si>
    <t>2015_5</t>
    <phoneticPr fontId="1" type="noConversion"/>
  </si>
  <si>
    <t>Agnook</t>
    <phoneticPr fontId="1" type="noConversion"/>
  </si>
  <si>
    <t>Tiovata</t>
    <phoneticPr fontId="1" type="noConversion"/>
  </si>
  <si>
    <t>2015_50</t>
    <phoneticPr fontId="1" type="noConversion"/>
  </si>
  <si>
    <t>Dodge</t>
    <phoneticPr fontId="1" type="noConversion"/>
  </si>
  <si>
    <t>Jantsk</t>
    <phoneticPr fontId="1" type="noConversion"/>
  </si>
  <si>
    <t>2015_6</t>
    <phoneticPr fontId="1" type="noConversion"/>
  </si>
  <si>
    <t>Ghent</t>
    <phoneticPr fontId="1" type="noConversion"/>
  </si>
  <si>
    <t>Taurendil</t>
    <phoneticPr fontId="1" type="noConversion"/>
  </si>
  <si>
    <t>2015_7</t>
    <phoneticPr fontId="1" type="noConversion"/>
  </si>
  <si>
    <t>Shass</t>
    <phoneticPr fontId="1" type="noConversion"/>
  </si>
  <si>
    <t>Major</t>
    <phoneticPr fontId="1" type="noConversion"/>
  </si>
  <si>
    <t>2015_8</t>
    <phoneticPr fontId="1" type="noConversion"/>
  </si>
  <si>
    <t>Anjylle</t>
    <phoneticPr fontId="1" type="noConversion"/>
  </si>
  <si>
    <t>Ulluto</t>
    <phoneticPr fontId="1" type="noConversion"/>
  </si>
  <si>
    <t>2015_9</t>
    <phoneticPr fontId="1" type="noConversion"/>
  </si>
  <si>
    <t>Sim</t>
    <phoneticPr fontId="1" type="noConversion"/>
  </si>
  <si>
    <t>Ashen</t>
    <phoneticPr fontId="1" type="noConversion"/>
  </si>
  <si>
    <t>Total GPA Average of current table</t>
    <phoneticPr fontId="1" type="noConversion"/>
  </si>
  <si>
    <t>Frequency</t>
    <phoneticPr fontId="1" type="noConversion"/>
  </si>
  <si>
    <t>Grade</t>
    <phoneticPr fontId="1" type="noConversion"/>
  </si>
  <si>
    <t>GPA</t>
    <phoneticPr fontId="1" type="noConversion"/>
  </si>
  <si>
    <t>F</t>
    <phoneticPr fontId="1" type="noConversion"/>
  </si>
  <si>
    <t>D-</t>
    <phoneticPr fontId="1" type="noConversion"/>
  </si>
  <si>
    <t>D</t>
    <phoneticPr fontId="1" type="noConversion"/>
  </si>
  <si>
    <t>A+</t>
    <phoneticPr fontId="1" type="noConversion"/>
  </si>
  <si>
    <t>A</t>
    <phoneticPr fontId="1" type="noConversion"/>
  </si>
  <si>
    <t>A-</t>
    <phoneticPr fontId="1" type="noConversion"/>
  </si>
  <si>
    <t>B+</t>
    <phoneticPr fontId="1" type="noConversion"/>
  </si>
  <si>
    <t>B</t>
    <phoneticPr fontId="1" type="noConversion"/>
  </si>
  <si>
    <t>B-</t>
    <phoneticPr fontId="1" type="noConversion"/>
  </si>
  <si>
    <t>C+</t>
    <phoneticPr fontId="1" type="noConversion"/>
  </si>
  <si>
    <t>C</t>
    <phoneticPr fontId="1" type="noConversion"/>
  </si>
  <si>
    <t>C-</t>
    <phoneticPr fontId="1" type="noConversion"/>
  </si>
  <si>
    <t>D+</t>
    <phoneticPr fontId="1" type="noConversion"/>
  </si>
  <si>
    <t>CP102</t>
    <phoneticPr fontId="1" type="noConversion"/>
  </si>
  <si>
    <t>Max GPA</t>
    <phoneticPr fontId="1" type="noConversion"/>
  </si>
  <si>
    <t>Min GPA</t>
    <phoneticPr fontId="1" type="noConversion"/>
  </si>
  <si>
    <t>Min</t>
    <phoneticPr fontId="1" type="noConversion"/>
  </si>
  <si>
    <t>Max</t>
    <phoneticPr fontId="1" type="noConversion"/>
  </si>
  <si>
    <t>Average</t>
    <phoneticPr fontId="1" type="noConversion"/>
  </si>
  <si>
    <t>Detail</t>
    <phoneticPr fontId="1" type="noConversion"/>
  </si>
  <si>
    <t>STD</t>
    <phoneticPr fontId="1" type="noConversion"/>
  </si>
  <si>
    <t>Mode</t>
    <phoneticPr fontId="1" type="noConversion"/>
  </si>
  <si>
    <t>Median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</si>
</sst>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4" fillId="2" borderId="3" applyNumberFormat="0" applyAlignment="0" applyProtection="0">
      <alignment vertical="center"/>
    </xf>
  </cellStyleXfs>
  <cellXfs count="6">
    <xf numFmtId="0" fontId="0" fillId="0" borderId="0" xfId="0">
      <alignment vertical="center"/>
    </xf>
    <xf numFmtId="0" fontId="3" fillId="0" borderId="2" xfId="2">
      <alignment vertical="center"/>
    </xf>
    <xf numFmtId="0" fontId="4" fillId="2" borderId="3" xfId="3" applyAlignment="1">
      <alignment horizontal="center" vertical="center"/>
    </xf>
    <xf numFmtId="0" fontId="2" fillId="0" borderId="1" xfId="1" applyAlignment="1">
      <alignment horizontal="center" vertical="center"/>
    </xf>
    <xf numFmtId="0" fontId="2" fillId="0" borderId="1" xfId="1" applyFill="1">
      <alignment vertical="center"/>
    </xf>
    <xf numFmtId="0" fontId="2" fillId="0" borderId="1" xfId="1" applyAlignment="1">
      <alignment horizontal="center" vertical="center"/>
    </xf>
  </cellXfs>
  <cellStyles count="4">
    <cellStyle name="Calculation" xfId="3" builtinId="22"/>
    <cellStyle name="Heading 2" xfId="1" builtinId="17"/>
    <cellStyle name="Heading 3" xfId="2" builtinId="18"/>
    <cellStyle name="Normal" xfId="0" builtinId="0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Final Grade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altLang="zh-CN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Final Grade</a:t>
          </a:r>
        </a:p>
      </cx:txPr>
    </cx:title>
    <cx:plotArea>
      <cx:plotAreaRegion>
        <cx:series layoutId="clusteredColumn" uniqueId="{F0911A3C-2516-4D1E-AB74-31CB037FD4F8}">
          <cx:dataId val="0"/>
          <cx:layoutPr>
            <cx:aggregation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95250</xdr:rowOff>
        </xdr:from>
        <xdr:to>
          <xdr:col>2</xdr:col>
          <xdr:colOff>552450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671511</xdr:colOff>
      <xdr:row>14</xdr:row>
      <xdr:rowOff>19050</xdr:rowOff>
    </xdr:from>
    <xdr:to>
      <xdr:col>19</xdr:col>
      <xdr:colOff>371474</xdr:colOff>
      <xdr:row>37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ReportChart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63536" y="2705100"/>
              <a:ext cx="6205538" cy="4286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A35EC0-46E9-45AF-8A7C-4A9B88CBA47A}" name="Table1" displayName="Table1" ref="P1:V7" totalsRowShown="0" headerRowDxfId="0" headerRowCellStyle="Heading 2">
  <autoFilter ref="P1:V7" xr:uid="{29A35EC0-46E9-45AF-8A7C-4A9B88CBA47A}"/>
  <tableColumns count="7">
    <tableColumn id="1" xr3:uid="{A6CC16C8-8E3D-4F5B-9DE6-8C157002FBFB}" name="Detail"/>
    <tableColumn id="2" xr3:uid="{F729F1E2-CBD5-4950-A408-F8358E86CB8F}" name="A1"/>
    <tableColumn id="3" xr3:uid="{21146899-945D-4456-A8CA-2A61F8EB07C2}" name="A2"/>
    <tableColumn id="4" xr3:uid="{7792C69B-27C6-44D2-980A-7F87D705F472}" name="A3"/>
    <tableColumn id="5" xr3:uid="{571E9AA6-C944-4479-916A-0828AC3CDF2E}" name="A4"/>
    <tableColumn id="6" xr3:uid="{7B7419B3-4CD7-4F54-9927-0CF9FF8DCF07}" name="Mid Term"/>
    <tableColumn id="7" xr3:uid="{30BEC47F-B391-444C-8670-4BF98D8968BB}" name="Exa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CDD9-8CF6-41AC-AA45-141022527E6C}">
  <sheetPr codeName="Index"/>
  <dimension ref="A1"/>
  <sheetViews>
    <sheetView workbookViewId="0">
      <selection activeCell="G4" sqref="G4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Form">
                <anchor moveWithCells="1" sizeWithCells="1">
                  <from>
                    <xdr:col>0</xdr:col>
                    <xdr:colOff>304800</xdr:colOff>
                    <xdr:row>0</xdr:row>
                    <xdr:rowOff>95250</xdr:rowOff>
                  </from>
                  <to>
                    <xdr:col>2</xdr:col>
                    <xdr:colOff>552450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0360-A5D6-4196-9560-D33AD381A25E}">
  <sheetPr codeName="Data"/>
  <dimension ref="A1:V55"/>
  <sheetViews>
    <sheetView tabSelected="1" topLeftCell="B1" workbookViewId="0">
      <selection activeCell="V8" sqref="V8"/>
    </sheetView>
  </sheetViews>
  <sheetFormatPr defaultRowHeight="14.25" x14ac:dyDescent="0.2"/>
  <cols>
    <col min="1" max="1" width="16.375" customWidth="1"/>
    <col min="2" max="2" width="18.875" customWidth="1"/>
    <col min="3" max="3" width="17.875" customWidth="1"/>
    <col min="4" max="4" width="20.25" customWidth="1"/>
    <col min="5" max="5" width="15.625" customWidth="1"/>
    <col min="6" max="6" width="14.5" customWidth="1"/>
    <col min="7" max="7" width="15.75" customWidth="1"/>
    <col min="8" max="8" width="14.875" customWidth="1"/>
    <col min="9" max="9" width="13.25" customWidth="1"/>
    <col min="10" max="10" width="15.25" customWidth="1"/>
    <col min="12" max="12" width="10.125" customWidth="1"/>
    <col min="14" max="14" width="10.875" customWidth="1"/>
    <col min="16" max="16" width="10.375" customWidth="1"/>
    <col min="21" max="21" width="12" customWidth="1"/>
  </cols>
  <sheetData>
    <row r="1" spans="1:22" ht="17.25" thickBot="1" x14ac:dyDescent="0.25">
      <c r="A1" s="5" t="s">
        <v>162</v>
      </c>
      <c r="B1" s="5"/>
      <c r="C1" s="5"/>
      <c r="D1" s="2">
        <f>ROUND(AVERAGE(J6:J55),2)</f>
        <v>71.34</v>
      </c>
      <c r="E1" s="3" t="s">
        <v>180</v>
      </c>
      <c r="F1" s="2">
        <f>MAX(GPA)</f>
        <v>90.75</v>
      </c>
      <c r="L1" s="1" t="s">
        <v>164</v>
      </c>
      <c r="M1" s="1" t="s">
        <v>165</v>
      </c>
      <c r="N1" s="1" t="s">
        <v>163</v>
      </c>
      <c r="P1" t="s">
        <v>185</v>
      </c>
      <c r="Q1" s="4" t="s">
        <v>5</v>
      </c>
      <c r="R1" s="4" t="s">
        <v>6</v>
      </c>
      <c r="S1" s="4" t="s">
        <v>7</v>
      </c>
      <c r="T1" s="4" t="s">
        <v>8</v>
      </c>
      <c r="U1" s="4" t="s">
        <v>9</v>
      </c>
      <c r="V1" s="4" t="s">
        <v>10</v>
      </c>
    </row>
    <row r="2" spans="1:22" ht="18" thickTop="1" thickBot="1" x14ac:dyDescent="0.25">
      <c r="A2" s="5" t="s">
        <v>0</v>
      </c>
      <c r="B2" s="5"/>
      <c r="C2" s="5"/>
      <c r="D2" s="2">
        <f>ROUND(_xlfn.STDEV.S(J6:J55),2)</f>
        <v>8.7100000000000009</v>
      </c>
      <c r="E2" s="3" t="s">
        <v>181</v>
      </c>
      <c r="F2" s="2">
        <f>MIN(GPA)</f>
        <v>53.3</v>
      </c>
      <c r="L2" t="s">
        <v>166</v>
      </c>
      <c r="M2">
        <v>50</v>
      </c>
      <c r="N2" cm="1">
        <f t="array" ref="N2:N15">FREQUENCY(GPA, M2:M14)</f>
        <v>0</v>
      </c>
      <c r="P2" t="s">
        <v>182</v>
      </c>
      <c r="Q2">
        <f>MIN(Assignment1)</f>
        <v>47</v>
      </c>
      <c r="R2">
        <f>MIN(Assignment2)</f>
        <v>45</v>
      </c>
      <c r="S2">
        <f>MIN(Assignment3)</f>
        <v>45</v>
      </c>
      <c r="T2">
        <f>MIN(Assignment4)</f>
        <v>46</v>
      </c>
      <c r="U2">
        <f>MIN(MidTerm)</f>
        <v>46</v>
      </c>
      <c r="V2">
        <f>MIN(Exam)</f>
        <v>45</v>
      </c>
    </row>
    <row r="3" spans="1:22" ht="18" thickTop="1" thickBot="1" x14ac:dyDescent="0.25">
      <c r="A3" s="5" t="s">
        <v>1</v>
      </c>
      <c r="B3" s="5"/>
      <c r="C3" s="5"/>
      <c r="D3" s="2" t="s">
        <v>179</v>
      </c>
      <c r="L3" t="s">
        <v>167</v>
      </c>
      <c r="M3">
        <v>53</v>
      </c>
      <c r="N3">
        <v>0</v>
      </c>
      <c r="P3" t="s">
        <v>183</v>
      </c>
      <c r="Q3">
        <f>MAX(Assignment1)</f>
        <v>98</v>
      </c>
      <c r="R3">
        <f>MAX(Assignment2)</f>
        <v>97</v>
      </c>
      <c r="S3">
        <f>MAX(Assignment3)</f>
        <v>98</v>
      </c>
      <c r="T3">
        <f>MAX(Assignment4)</f>
        <v>98</v>
      </c>
      <c r="U3">
        <f>MAX(MidTerm)</f>
        <v>98</v>
      </c>
      <c r="V3">
        <f>MAX(Exam)</f>
        <v>97</v>
      </c>
    </row>
    <row r="4" spans="1:22" ht="15" thickTop="1" x14ac:dyDescent="0.2">
      <c r="L4" t="s">
        <v>168</v>
      </c>
      <c r="M4">
        <v>57</v>
      </c>
      <c r="N4">
        <v>3</v>
      </c>
      <c r="P4" t="s">
        <v>184</v>
      </c>
      <c r="Q4">
        <f>ROUND(AVERAGE(Assignment1),2)</f>
        <v>69.28</v>
      </c>
      <c r="R4">
        <f>ROUND(AVERAGE(Assignment2),2)</f>
        <v>69.8</v>
      </c>
      <c r="S4">
        <f>ROUND(AVERAGE(Assignment3),2)</f>
        <v>68.959999999999994</v>
      </c>
      <c r="T4">
        <f>ROUND(AVERAGE(Assignment4),2)</f>
        <v>72.38</v>
      </c>
      <c r="U4">
        <f>ROUND(AVERAGE(MidTerm),2)</f>
        <v>72.06</v>
      </c>
      <c r="V4">
        <f>ROUND(AVERAGE(Exam),2)</f>
        <v>71.400000000000006</v>
      </c>
    </row>
    <row r="5" spans="1:22" ht="15" thickBot="1" x14ac:dyDescent="0.25">
      <c r="A5" s="1" t="s">
        <v>2</v>
      </c>
      <c r="B5" s="1" t="s">
        <v>3</v>
      </c>
      <c r="C5" s="1" t="s">
        <v>4</v>
      </c>
      <c r="D5" s="1" t="s">
        <v>5</v>
      </c>
      <c r="E5" s="1" t="s">
        <v>6</v>
      </c>
      <c r="F5" s="1" t="s">
        <v>7</v>
      </c>
      <c r="G5" s="1" t="s">
        <v>8</v>
      </c>
      <c r="H5" s="1" t="s">
        <v>9</v>
      </c>
      <c r="I5" s="1" t="s">
        <v>10</v>
      </c>
      <c r="J5" s="1" t="s">
        <v>11</v>
      </c>
      <c r="L5" t="s">
        <v>178</v>
      </c>
      <c r="M5">
        <v>60</v>
      </c>
      <c r="N5">
        <v>2</v>
      </c>
      <c r="P5" t="s">
        <v>186</v>
      </c>
      <c r="Q5">
        <f>ROUND(_xlfn.STDEV.S(Assignment1),2)</f>
        <v>16.41</v>
      </c>
      <c r="R5">
        <f>ROUND(_xlfn.STDEV.S(Assignment2),2)</f>
        <v>16.53</v>
      </c>
      <c r="S5">
        <f>ROUND(_xlfn.STDEV.S(Assignment3),2)</f>
        <v>15.66</v>
      </c>
      <c r="T5">
        <f>ROUND(_xlfn.STDEV.S(Assignment4),2)</f>
        <v>15.76</v>
      </c>
      <c r="U5">
        <f>ROUND(_xlfn.STDEV.S(MidTerm),2)</f>
        <v>16.73</v>
      </c>
      <c r="V5">
        <f>ROUND(_xlfn.STDEV.S(Exam),2)</f>
        <v>14.49</v>
      </c>
    </row>
    <row r="6" spans="1:22" x14ac:dyDescent="0.2">
      <c r="A6" t="s">
        <v>12</v>
      </c>
      <c r="B6" t="s">
        <v>13</v>
      </c>
      <c r="C6" t="s">
        <v>14</v>
      </c>
      <c r="D6">
        <v>97</v>
      </c>
      <c r="E6">
        <v>73</v>
      </c>
      <c r="F6">
        <v>81</v>
      </c>
      <c r="G6">
        <v>85</v>
      </c>
      <c r="H6">
        <v>84</v>
      </c>
      <c r="I6">
        <v>61</v>
      </c>
      <c r="J6">
        <v>72.5</v>
      </c>
      <c r="L6" t="s">
        <v>177</v>
      </c>
      <c r="M6">
        <v>63</v>
      </c>
      <c r="N6">
        <v>6</v>
      </c>
      <c r="P6" t="s">
        <v>187</v>
      </c>
      <c r="Q6">
        <f>_xlfn.MODE.SNGL(Assignment1)</f>
        <v>76</v>
      </c>
      <c r="R6">
        <f>_xlfn.MODE.SNGL(Assignment2)</f>
        <v>55</v>
      </c>
      <c r="S6">
        <f>_xlfn.MODE.SNGL(Assignment3)</f>
        <v>81</v>
      </c>
      <c r="T6">
        <f>_xlfn.MODE.SNGL(Assignment4)</f>
        <v>91</v>
      </c>
      <c r="U6">
        <f>_xlfn.MODE.SNGL(MidTerm)</f>
        <v>51</v>
      </c>
      <c r="V6">
        <f>_xlfn.MODE.SNGL(Exam)</f>
        <v>82</v>
      </c>
    </row>
    <row r="7" spans="1:22" x14ac:dyDescent="0.2">
      <c r="A7" t="s">
        <v>15</v>
      </c>
      <c r="B7" t="s">
        <v>16</v>
      </c>
      <c r="C7" t="s">
        <v>17</v>
      </c>
      <c r="D7">
        <v>96</v>
      </c>
      <c r="E7">
        <v>55</v>
      </c>
      <c r="F7">
        <v>77</v>
      </c>
      <c r="G7">
        <v>46</v>
      </c>
      <c r="H7">
        <v>51</v>
      </c>
      <c r="I7">
        <v>65</v>
      </c>
      <c r="J7">
        <v>61.5</v>
      </c>
      <c r="L7" t="s">
        <v>176</v>
      </c>
      <c r="M7">
        <v>67</v>
      </c>
      <c r="N7">
        <v>4</v>
      </c>
      <c r="P7" t="s">
        <v>188</v>
      </c>
      <c r="Q7">
        <f>MEDIAN(Assignment1)</f>
        <v>67</v>
      </c>
      <c r="R7">
        <f>MEDIAN(Assignment2)</f>
        <v>67.5</v>
      </c>
      <c r="S7">
        <f>MEDIAN(Assignment3)</f>
        <v>70.5</v>
      </c>
      <c r="T7">
        <f>MEDIAN(Assignment4)</f>
        <v>74</v>
      </c>
      <c r="U7">
        <f>MEDIAN(MidTerm)</f>
        <v>69</v>
      </c>
      <c r="V7">
        <f>MEDIAN(Exam)</f>
        <v>70</v>
      </c>
    </row>
    <row r="8" spans="1:22" x14ac:dyDescent="0.2">
      <c r="A8" t="s">
        <v>18</v>
      </c>
      <c r="B8" t="s">
        <v>19</v>
      </c>
      <c r="C8" t="s">
        <v>20</v>
      </c>
      <c r="D8">
        <v>76</v>
      </c>
      <c r="E8">
        <v>63</v>
      </c>
      <c r="F8">
        <v>81</v>
      </c>
      <c r="G8">
        <v>63</v>
      </c>
      <c r="H8">
        <v>54</v>
      </c>
      <c r="I8">
        <v>90</v>
      </c>
      <c r="J8">
        <v>75.349999999999994</v>
      </c>
      <c r="L8" t="s">
        <v>175</v>
      </c>
      <c r="M8">
        <v>70</v>
      </c>
      <c r="N8">
        <v>7</v>
      </c>
    </row>
    <row r="9" spans="1:22" x14ac:dyDescent="0.2">
      <c r="A9" t="s">
        <v>21</v>
      </c>
      <c r="B9" t="s">
        <v>22</v>
      </c>
      <c r="C9" t="s">
        <v>23</v>
      </c>
      <c r="D9">
        <v>90</v>
      </c>
      <c r="E9">
        <v>80</v>
      </c>
      <c r="F9">
        <v>83</v>
      </c>
      <c r="G9">
        <v>76</v>
      </c>
      <c r="H9">
        <v>88</v>
      </c>
      <c r="I9">
        <v>61</v>
      </c>
      <c r="J9">
        <v>73.349999999999994</v>
      </c>
      <c r="L9" t="s">
        <v>174</v>
      </c>
      <c r="M9">
        <v>73</v>
      </c>
      <c r="N9">
        <v>7</v>
      </c>
    </row>
    <row r="10" spans="1:22" x14ac:dyDescent="0.2">
      <c r="A10" t="s">
        <v>24</v>
      </c>
      <c r="B10" t="s">
        <v>25</v>
      </c>
      <c r="C10" t="s">
        <v>26</v>
      </c>
      <c r="D10">
        <v>96</v>
      </c>
      <c r="E10">
        <v>63</v>
      </c>
      <c r="F10">
        <v>55</v>
      </c>
      <c r="G10">
        <v>49</v>
      </c>
      <c r="H10">
        <v>80</v>
      </c>
      <c r="I10">
        <v>81</v>
      </c>
      <c r="J10">
        <v>77.650000000000006</v>
      </c>
      <c r="L10" t="s">
        <v>173</v>
      </c>
      <c r="M10">
        <v>77</v>
      </c>
      <c r="N10">
        <v>8</v>
      </c>
    </row>
    <row r="11" spans="1:22" x14ac:dyDescent="0.2">
      <c r="A11" t="s">
        <v>27</v>
      </c>
      <c r="B11" t="s">
        <v>28</v>
      </c>
      <c r="C11" t="s">
        <v>29</v>
      </c>
      <c r="D11">
        <v>50</v>
      </c>
      <c r="E11">
        <v>68</v>
      </c>
      <c r="F11">
        <v>81</v>
      </c>
      <c r="G11">
        <v>87</v>
      </c>
      <c r="H11">
        <v>51</v>
      </c>
      <c r="I11">
        <v>78</v>
      </c>
      <c r="J11">
        <v>68.599999999999994</v>
      </c>
      <c r="L11" t="s">
        <v>172</v>
      </c>
      <c r="M11">
        <v>80</v>
      </c>
      <c r="N11">
        <v>4</v>
      </c>
    </row>
    <row r="12" spans="1:22" x14ac:dyDescent="0.2">
      <c r="A12" t="s">
        <v>30</v>
      </c>
      <c r="B12" t="s">
        <v>31</v>
      </c>
      <c r="C12" t="s">
        <v>32</v>
      </c>
      <c r="D12">
        <v>51</v>
      </c>
      <c r="E12">
        <v>83</v>
      </c>
      <c r="F12">
        <v>66</v>
      </c>
      <c r="G12">
        <v>89</v>
      </c>
      <c r="H12">
        <v>69</v>
      </c>
      <c r="I12">
        <v>94</v>
      </c>
      <c r="J12">
        <v>82.15</v>
      </c>
      <c r="L12" t="s">
        <v>171</v>
      </c>
      <c r="M12">
        <v>85</v>
      </c>
      <c r="N12">
        <v>6</v>
      </c>
    </row>
    <row r="13" spans="1:22" x14ac:dyDescent="0.2">
      <c r="A13" t="s">
        <v>33</v>
      </c>
      <c r="B13" t="s">
        <v>34</v>
      </c>
      <c r="C13" t="s">
        <v>35</v>
      </c>
      <c r="D13">
        <v>68</v>
      </c>
      <c r="E13">
        <v>96</v>
      </c>
      <c r="F13">
        <v>49</v>
      </c>
      <c r="G13">
        <v>78</v>
      </c>
      <c r="H13">
        <v>50</v>
      </c>
      <c r="I13">
        <v>53</v>
      </c>
      <c r="J13">
        <v>56.050000000000004</v>
      </c>
      <c r="L13" t="s">
        <v>170</v>
      </c>
      <c r="M13">
        <v>90</v>
      </c>
      <c r="N13">
        <v>1</v>
      </c>
    </row>
    <row r="14" spans="1:22" x14ac:dyDescent="0.2">
      <c r="A14" t="s">
        <v>36</v>
      </c>
      <c r="B14" t="s">
        <v>37</v>
      </c>
      <c r="C14" t="s">
        <v>38</v>
      </c>
      <c r="D14">
        <v>60</v>
      </c>
      <c r="E14">
        <v>97</v>
      </c>
      <c r="F14">
        <v>81</v>
      </c>
      <c r="G14">
        <v>84</v>
      </c>
      <c r="H14">
        <v>80</v>
      </c>
      <c r="I14">
        <v>71</v>
      </c>
      <c r="J14">
        <v>75.599999999999994</v>
      </c>
      <c r="L14" t="s">
        <v>169</v>
      </c>
      <c r="M14">
        <v>100</v>
      </c>
      <c r="N14">
        <v>2</v>
      </c>
    </row>
    <row r="15" spans="1:22" x14ac:dyDescent="0.2">
      <c r="A15" t="s">
        <v>39</v>
      </c>
      <c r="B15" t="s">
        <v>40</v>
      </c>
      <c r="C15" t="s">
        <v>41</v>
      </c>
      <c r="D15">
        <v>53</v>
      </c>
      <c r="E15">
        <v>48</v>
      </c>
      <c r="F15">
        <v>81</v>
      </c>
      <c r="G15">
        <v>55</v>
      </c>
      <c r="H15">
        <v>61</v>
      </c>
      <c r="I15">
        <v>95</v>
      </c>
      <c r="J15">
        <v>77.650000000000006</v>
      </c>
      <c r="N15">
        <v>0</v>
      </c>
    </row>
    <row r="16" spans="1:22" x14ac:dyDescent="0.2">
      <c r="A16" t="s">
        <v>42</v>
      </c>
      <c r="B16" t="s">
        <v>43</v>
      </c>
      <c r="C16" t="s">
        <v>44</v>
      </c>
      <c r="D16">
        <v>79</v>
      </c>
      <c r="E16">
        <v>56</v>
      </c>
      <c r="F16">
        <v>81</v>
      </c>
      <c r="G16">
        <v>84</v>
      </c>
      <c r="H16">
        <v>64</v>
      </c>
      <c r="I16">
        <v>88</v>
      </c>
      <c r="J16">
        <v>78.2</v>
      </c>
    </row>
    <row r="17" spans="1:10" x14ac:dyDescent="0.2">
      <c r="A17" t="s">
        <v>45</v>
      </c>
      <c r="B17" t="s">
        <v>46</v>
      </c>
      <c r="C17" t="s">
        <v>47</v>
      </c>
      <c r="D17">
        <v>50</v>
      </c>
      <c r="E17">
        <v>68</v>
      </c>
      <c r="F17">
        <v>45</v>
      </c>
      <c r="G17">
        <v>88</v>
      </c>
      <c r="H17">
        <v>86</v>
      </c>
      <c r="I17">
        <v>85</v>
      </c>
      <c r="J17">
        <v>80.849999999999994</v>
      </c>
    </row>
    <row r="18" spans="1:10" x14ac:dyDescent="0.2">
      <c r="A18" t="s">
        <v>48</v>
      </c>
      <c r="B18" t="s">
        <v>49</v>
      </c>
      <c r="C18" t="s">
        <v>50</v>
      </c>
      <c r="D18">
        <v>60</v>
      </c>
      <c r="E18">
        <v>93</v>
      </c>
      <c r="F18">
        <v>45</v>
      </c>
      <c r="G18">
        <v>46</v>
      </c>
      <c r="H18">
        <v>56</v>
      </c>
      <c r="I18">
        <v>67</v>
      </c>
      <c r="J18">
        <v>62.5</v>
      </c>
    </row>
    <row r="19" spans="1:10" x14ac:dyDescent="0.2">
      <c r="A19" t="s">
        <v>51</v>
      </c>
      <c r="B19" t="s">
        <v>52</v>
      </c>
      <c r="C19" t="s">
        <v>53</v>
      </c>
      <c r="D19">
        <v>58</v>
      </c>
      <c r="E19">
        <v>91</v>
      </c>
      <c r="F19">
        <v>80</v>
      </c>
      <c r="G19">
        <v>70</v>
      </c>
      <c r="H19">
        <v>59</v>
      </c>
      <c r="I19">
        <v>60</v>
      </c>
      <c r="J19">
        <v>62.65</v>
      </c>
    </row>
    <row r="20" spans="1:10" x14ac:dyDescent="0.2">
      <c r="A20" t="s">
        <v>54</v>
      </c>
      <c r="B20" t="s">
        <v>55</v>
      </c>
      <c r="C20" t="s">
        <v>56</v>
      </c>
      <c r="D20">
        <v>50</v>
      </c>
      <c r="E20">
        <v>59</v>
      </c>
      <c r="F20">
        <v>91</v>
      </c>
      <c r="G20">
        <v>89</v>
      </c>
      <c r="H20">
        <v>94</v>
      </c>
      <c r="I20">
        <v>96</v>
      </c>
      <c r="J20">
        <v>90.65</v>
      </c>
    </row>
    <row r="21" spans="1:10" x14ac:dyDescent="0.2">
      <c r="A21" t="s">
        <v>57</v>
      </c>
      <c r="B21" t="s">
        <v>58</v>
      </c>
      <c r="C21" t="s">
        <v>59</v>
      </c>
      <c r="D21">
        <v>80</v>
      </c>
      <c r="E21">
        <v>67</v>
      </c>
      <c r="F21">
        <v>57</v>
      </c>
      <c r="G21">
        <v>72</v>
      </c>
      <c r="H21">
        <v>98</v>
      </c>
      <c r="I21">
        <v>57</v>
      </c>
      <c r="J21">
        <v>71.699999999999989</v>
      </c>
    </row>
    <row r="22" spans="1:10" x14ac:dyDescent="0.2">
      <c r="A22" t="s">
        <v>60</v>
      </c>
      <c r="B22" t="s">
        <v>61</v>
      </c>
      <c r="C22" t="s">
        <v>62</v>
      </c>
      <c r="D22">
        <v>55</v>
      </c>
      <c r="E22">
        <v>56</v>
      </c>
      <c r="F22">
        <v>71</v>
      </c>
      <c r="G22">
        <v>91</v>
      </c>
      <c r="H22">
        <v>63</v>
      </c>
      <c r="I22">
        <v>82</v>
      </c>
      <c r="J22">
        <v>73.55</v>
      </c>
    </row>
    <row r="23" spans="1:10" x14ac:dyDescent="0.2">
      <c r="A23" t="s">
        <v>63</v>
      </c>
      <c r="B23" t="s">
        <v>64</v>
      </c>
      <c r="C23" t="s">
        <v>65</v>
      </c>
      <c r="D23">
        <v>82</v>
      </c>
      <c r="E23">
        <v>87</v>
      </c>
      <c r="F23">
        <v>49</v>
      </c>
      <c r="G23">
        <v>50</v>
      </c>
      <c r="H23">
        <v>58</v>
      </c>
      <c r="I23">
        <v>56</v>
      </c>
      <c r="J23">
        <v>58.8</v>
      </c>
    </row>
    <row r="24" spans="1:10" x14ac:dyDescent="0.2">
      <c r="A24" t="s">
        <v>66</v>
      </c>
      <c r="B24" t="s">
        <v>67</v>
      </c>
      <c r="C24" t="s">
        <v>68</v>
      </c>
      <c r="D24">
        <v>59</v>
      </c>
      <c r="E24">
        <v>97</v>
      </c>
      <c r="F24">
        <v>47</v>
      </c>
      <c r="G24">
        <v>71</v>
      </c>
      <c r="H24">
        <v>88</v>
      </c>
      <c r="I24">
        <v>69</v>
      </c>
      <c r="J24">
        <v>74.599999999999994</v>
      </c>
    </row>
    <row r="25" spans="1:10" x14ac:dyDescent="0.2">
      <c r="A25" t="s">
        <v>69</v>
      </c>
      <c r="B25" t="s">
        <v>70</v>
      </c>
      <c r="C25" t="s">
        <v>71</v>
      </c>
      <c r="D25">
        <v>76</v>
      </c>
      <c r="E25">
        <v>49</v>
      </c>
      <c r="F25">
        <v>90</v>
      </c>
      <c r="G25">
        <v>47</v>
      </c>
      <c r="H25">
        <v>96</v>
      </c>
      <c r="I25">
        <v>54</v>
      </c>
      <c r="J25">
        <v>68.900000000000006</v>
      </c>
    </row>
    <row r="26" spans="1:10" x14ac:dyDescent="0.2">
      <c r="A26" t="s">
        <v>72</v>
      </c>
      <c r="B26" t="s">
        <v>73</v>
      </c>
      <c r="C26" t="s">
        <v>74</v>
      </c>
      <c r="D26">
        <v>71</v>
      </c>
      <c r="E26">
        <v>80</v>
      </c>
      <c r="F26">
        <v>45</v>
      </c>
      <c r="G26">
        <v>89</v>
      </c>
      <c r="H26">
        <v>92</v>
      </c>
      <c r="I26">
        <v>77</v>
      </c>
      <c r="J26">
        <v>80.349999999999994</v>
      </c>
    </row>
    <row r="27" spans="1:10" x14ac:dyDescent="0.2">
      <c r="A27" t="s">
        <v>75</v>
      </c>
      <c r="B27" t="s">
        <v>76</v>
      </c>
      <c r="C27" t="s">
        <v>77</v>
      </c>
      <c r="D27">
        <v>63</v>
      </c>
      <c r="E27">
        <v>49</v>
      </c>
      <c r="F27">
        <v>65</v>
      </c>
      <c r="G27">
        <v>91</v>
      </c>
      <c r="H27">
        <v>46</v>
      </c>
      <c r="I27">
        <v>75</v>
      </c>
      <c r="J27">
        <v>64.7</v>
      </c>
    </row>
    <row r="28" spans="1:10" x14ac:dyDescent="0.2">
      <c r="A28" t="s">
        <v>78</v>
      </c>
      <c r="B28" t="s">
        <v>79</v>
      </c>
      <c r="C28" t="s">
        <v>80</v>
      </c>
      <c r="D28">
        <v>84</v>
      </c>
      <c r="E28">
        <v>78</v>
      </c>
      <c r="F28">
        <v>77</v>
      </c>
      <c r="G28">
        <v>56</v>
      </c>
      <c r="H28">
        <v>96</v>
      </c>
      <c r="I28">
        <v>73</v>
      </c>
      <c r="J28">
        <v>80.05</v>
      </c>
    </row>
    <row r="29" spans="1:10" x14ac:dyDescent="0.2">
      <c r="A29" t="s">
        <v>81</v>
      </c>
      <c r="B29" t="s">
        <v>82</v>
      </c>
      <c r="C29" t="s">
        <v>83</v>
      </c>
      <c r="D29">
        <v>71</v>
      </c>
      <c r="E29">
        <v>48</v>
      </c>
      <c r="F29">
        <v>68</v>
      </c>
      <c r="G29">
        <v>85</v>
      </c>
      <c r="H29">
        <v>66</v>
      </c>
      <c r="I29">
        <v>77</v>
      </c>
      <c r="J29">
        <v>71.900000000000006</v>
      </c>
    </row>
    <row r="30" spans="1:10" x14ac:dyDescent="0.2">
      <c r="A30" t="s">
        <v>84</v>
      </c>
      <c r="B30" t="s">
        <v>85</v>
      </c>
      <c r="C30" t="s">
        <v>86</v>
      </c>
      <c r="D30">
        <v>98</v>
      </c>
      <c r="E30">
        <v>88</v>
      </c>
      <c r="F30">
        <v>76</v>
      </c>
      <c r="G30">
        <v>98</v>
      </c>
      <c r="H30">
        <v>98</v>
      </c>
      <c r="I30">
        <v>51</v>
      </c>
      <c r="J30">
        <v>72.900000000000006</v>
      </c>
    </row>
    <row r="31" spans="1:10" x14ac:dyDescent="0.2">
      <c r="A31" t="s">
        <v>87</v>
      </c>
      <c r="B31" t="s">
        <v>88</v>
      </c>
      <c r="C31" t="s">
        <v>89</v>
      </c>
      <c r="D31">
        <v>76</v>
      </c>
      <c r="E31">
        <v>63</v>
      </c>
      <c r="F31">
        <v>78</v>
      </c>
      <c r="G31">
        <v>81</v>
      </c>
      <c r="H31">
        <v>83</v>
      </c>
      <c r="I31">
        <v>78</v>
      </c>
      <c r="J31">
        <v>78.8</v>
      </c>
    </row>
    <row r="32" spans="1:10" x14ac:dyDescent="0.2">
      <c r="A32" t="s">
        <v>90</v>
      </c>
      <c r="B32" t="s">
        <v>91</v>
      </c>
      <c r="C32" t="s">
        <v>92</v>
      </c>
      <c r="D32">
        <v>54</v>
      </c>
      <c r="E32">
        <v>85</v>
      </c>
      <c r="F32">
        <v>62</v>
      </c>
      <c r="G32">
        <v>91</v>
      </c>
      <c r="H32">
        <v>69</v>
      </c>
      <c r="I32">
        <v>95</v>
      </c>
      <c r="J32">
        <v>82.8</v>
      </c>
    </row>
    <row r="33" spans="1:10" x14ac:dyDescent="0.2">
      <c r="A33" t="s">
        <v>93</v>
      </c>
      <c r="B33" t="s">
        <v>94</v>
      </c>
      <c r="C33" t="s">
        <v>95</v>
      </c>
      <c r="D33">
        <v>47</v>
      </c>
      <c r="E33">
        <v>52</v>
      </c>
      <c r="F33">
        <v>66</v>
      </c>
      <c r="G33">
        <v>92</v>
      </c>
      <c r="H33">
        <v>66</v>
      </c>
      <c r="I33">
        <v>45</v>
      </c>
      <c r="J33">
        <v>55.150000000000006</v>
      </c>
    </row>
    <row r="34" spans="1:10" x14ac:dyDescent="0.2">
      <c r="A34" t="s">
        <v>96</v>
      </c>
      <c r="B34" t="s">
        <v>97</v>
      </c>
      <c r="C34" t="s">
        <v>98</v>
      </c>
      <c r="D34">
        <v>53</v>
      </c>
      <c r="E34">
        <v>82</v>
      </c>
      <c r="F34">
        <v>60</v>
      </c>
      <c r="G34">
        <v>48</v>
      </c>
      <c r="H34">
        <v>63</v>
      </c>
      <c r="I34">
        <v>59</v>
      </c>
      <c r="J34">
        <v>60.55</v>
      </c>
    </row>
    <row r="35" spans="1:10" x14ac:dyDescent="0.2">
      <c r="A35" t="s">
        <v>99</v>
      </c>
      <c r="B35" t="s">
        <v>100</v>
      </c>
      <c r="C35" t="s">
        <v>101</v>
      </c>
      <c r="D35">
        <v>47</v>
      </c>
      <c r="E35">
        <v>60</v>
      </c>
      <c r="F35">
        <v>46</v>
      </c>
      <c r="G35">
        <v>71</v>
      </c>
      <c r="H35">
        <v>80</v>
      </c>
      <c r="I35">
        <v>49</v>
      </c>
      <c r="J35">
        <v>59.7</v>
      </c>
    </row>
    <row r="36" spans="1:10" x14ac:dyDescent="0.2">
      <c r="A36" t="s">
        <v>102</v>
      </c>
      <c r="B36" t="s">
        <v>103</v>
      </c>
      <c r="C36" t="s">
        <v>104</v>
      </c>
      <c r="D36">
        <v>95</v>
      </c>
      <c r="E36">
        <v>50</v>
      </c>
      <c r="F36">
        <v>89</v>
      </c>
      <c r="G36">
        <v>67</v>
      </c>
      <c r="H36">
        <v>62</v>
      </c>
      <c r="I36">
        <v>65</v>
      </c>
      <c r="J36">
        <v>66.150000000000006</v>
      </c>
    </row>
    <row r="37" spans="1:10" x14ac:dyDescent="0.2">
      <c r="A37" t="s">
        <v>105</v>
      </c>
      <c r="B37" t="s">
        <v>106</v>
      </c>
      <c r="C37" t="s">
        <v>107</v>
      </c>
      <c r="D37">
        <v>92</v>
      </c>
      <c r="E37">
        <v>67</v>
      </c>
      <c r="F37">
        <v>98</v>
      </c>
      <c r="G37">
        <v>69</v>
      </c>
      <c r="H37">
        <v>87</v>
      </c>
      <c r="I37">
        <v>88</v>
      </c>
      <c r="J37">
        <v>86.4</v>
      </c>
    </row>
    <row r="38" spans="1:10" x14ac:dyDescent="0.2">
      <c r="A38" t="s">
        <v>108</v>
      </c>
      <c r="B38" t="s">
        <v>109</v>
      </c>
      <c r="C38" t="s">
        <v>110</v>
      </c>
      <c r="D38">
        <v>85</v>
      </c>
      <c r="E38">
        <v>55</v>
      </c>
      <c r="F38">
        <v>80</v>
      </c>
      <c r="G38">
        <v>70</v>
      </c>
      <c r="H38">
        <v>84</v>
      </c>
      <c r="I38">
        <v>57</v>
      </c>
      <c r="J38">
        <v>68.2</v>
      </c>
    </row>
    <row r="39" spans="1:10" x14ac:dyDescent="0.2">
      <c r="A39" t="s">
        <v>111</v>
      </c>
      <c r="B39" t="s">
        <v>112</v>
      </c>
      <c r="C39" t="s">
        <v>113</v>
      </c>
      <c r="D39">
        <v>88</v>
      </c>
      <c r="E39">
        <v>76</v>
      </c>
      <c r="F39">
        <v>57</v>
      </c>
      <c r="G39">
        <v>83</v>
      </c>
      <c r="H39">
        <v>51</v>
      </c>
      <c r="I39">
        <v>83</v>
      </c>
      <c r="J39">
        <v>72</v>
      </c>
    </row>
    <row r="40" spans="1:10" x14ac:dyDescent="0.2">
      <c r="A40" t="s">
        <v>114</v>
      </c>
      <c r="B40" t="s">
        <v>115</v>
      </c>
      <c r="C40" t="s">
        <v>116</v>
      </c>
      <c r="D40">
        <v>47</v>
      </c>
      <c r="E40">
        <v>74</v>
      </c>
      <c r="F40">
        <v>70</v>
      </c>
      <c r="G40">
        <v>53</v>
      </c>
      <c r="H40">
        <v>47</v>
      </c>
      <c r="I40">
        <v>54</v>
      </c>
      <c r="J40">
        <v>53.3</v>
      </c>
    </row>
    <row r="41" spans="1:10" x14ac:dyDescent="0.2">
      <c r="A41" t="s">
        <v>117</v>
      </c>
      <c r="B41" t="s">
        <v>118</v>
      </c>
      <c r="C41" t="s">
        <v>119</v>
      </c>
      <c r="D41">
        <v>62</v>
      </c>
      <c r="E41">
        <v>84</v>
      </c>
      <c r="F41">
        <v>63</v>
      </c>
      <c r="G41">
        <v>53</v>
      </c>
      <c r="H41">
        <v>72</v>
      </c>
      <c r="I41">
        <v>56</v>
      </c>
      <c r="J41">
        <v>62.7</v>
      </c>
    </row>
    <row r="42" spans="1:10" x14ac:dyDescent="0.2">
      <c r="A42" t="s">
        <v>120</v>
      </c>
      <c r="B42" t="s">
        <v>121</v>
      </c>
      <c r="C42" t="s">
        <v>122</v>
      </c>
      <c r="D42">
        <v>82</v>
      </c>
      <c r="E42">
        <v>67</v>
      </c>
      <c r="F42">
        <v>45</v>
      </c>
      <c r="G42">
        <v>75</v>
      </c>
      <c r="H42">
        <v>96</v>
      </c>
      <c r="I42">
        <v>97</v>
      </c>
      <c r="J42">
        <v>90.75</v>
      </c>
    </row>
    <row r="43" spans="1:10" x14ac:dyDescent="0.2">
      <c r="A43" t="s">
        <v>123</v>
      </c>
      <c r="B43" t="s">
        <v>124</v>
      </c>
      <c r="C43" t="s">
        <v>125</v>
      </c>
      <c r="D43">
        <v>93</v>
      </c>
      <c r="E43">
        <v>91</v>
      </c>
      <c r="F43">
        <v>46</v>
      </c>
      <c r="G43">
        <v>97</v>
      </c>
      <c r="H43">
        <v>52</v>
      </c>
      <c r="I43">
        <v>65</v>
      </c>
      <c r="J43">
        <v>64.45</v>
      </c>
    </row>
    <row r="44" spans="1:10" x14ac:dyDescent="0.2">
      <c r="A44" t="s">
        <v>126</v>
      </c>
      <c r="B44" t="s">
        <v>127</v>
      </c>
      <c r="C44" t="s">
        <v>128</v>
      </c>
      <c r="D44">
        <v>52</v>
      </c>
      <c r="E44">
        <v>47</v>
      </c>
      <c r="F44">
        <v>56</v>
      </c>
      <c r="G44">
        <v>64</v>
      </c>
      <c r="H44">
        <v>49</v>
      </c>
      <c r="I44">
        <v>72</v>
      </c>
      <c r="J44">
        <v>61.65</v>
      </c>
    </row>
    <row r="45" spans="1:10" x14ac:dyDescent="0.2">
      <c r="A45" t="s">
        <v>129</v>
      </c>
      <c r="B45" t="s">
        <v>130</v>
      </c>
      <c r="C45" t="s">
        <v>131</v>
      </c>
      <c r="D45">
        <v>52</v>
      </c>
      <c r="E45">
        <v>84</v>
      </c>
      <c r="F45">
        <v>63</v>
      </c>
      <c r="G45">
        <v>81</v>
      </c>
      <c r="H45">
        <v>87</v>
      </c>
      <c r="I45">
        <v>82</v>
      </c>
      <c r="J45">
        <v>81.099999999999994</v>
      </c>
    </row>
    <row r="46" spans="1:10" x14ac:dyDescent="0.2">
      <c r="A46" t="s">
        <v>132</v>
      </c>
      <c r="B46" t="s">
        <v>133</v>
      </c>
      <c r="C46" t="s">
        <v>134</v>
      </c>
      <c r="D46">
        <v>84</v>
      </c>
      <c r="E46">
        <v>52</v>
      </c>
      <c r="F46">
        <v>79</v>
      </c>
      <c r="G46">
        <v>81</v>
      </c>
      <c r="H46">
        <v>48</v>
      </c>
      <c r="I46">
        <v>82</v>
      </c>
      <c r="J46">
        <v>70.2</v>
      </c>
    </row>
    <row r="47" spans="1:10" x14ac:dyDescent="0.2">
      <c r="A47" t="s">
        <v>135</v>
      </c>
      <c r="B47" t="s">
        <v>136</v>
      </c>
      <c r="C47" t="s">
        <v>137</v>
      </c>
      <c r="D47">
        <v>60</v>
      </c>
      <c r="E47">
        <v>45</v>
      </c>
      <c r="F47">
        <v>87</v>
      </c>
      <c r="G47">
        <v>54</v>
      </c>
      <c r="H47">
        <v>94</v>
      </c>
      <c r="I47">
        <v>55</v>
      </c>
      <c r="J47">
        <v>68</v>
      </c>
    </row>
    <row r="48" spans="1:10" x14ac:dyDescent="0.2">
      <c r="A48" t="s">
        <v>138</v>
      </c>
      <c r="B48" t="s">
        <v>139</v>
      </c>
      <c r="C48" t="s">
        <v>140</v>
      </c>
      <c r="D48">
        <v>56</v>
      </c>
      <c r="E48">
        <v>55</v>
      </c>
      <c r="F48">
        <v>81</v>
      </c>
      <c r="G48">
        <v>73</v>
      </c>
      <c r="H48">
        <v>82</v>
      </c>
      <c r="I48">
        <v>78</v>
      </c>
      <c r="J48">
        <v>76.849999999999994</v>
      </c>
    </row>
    <row r="49" spans="1:10" x14ac:dyDescent="0.2">
      <c r="A49" t="s">
        <v>141</v>
      </c>
      <c r="B49" t="s">
        <v>142</v>
      </c>
      <c r="C49" t="s">
        <v>143</v>
      </c>
      <c r="D49">
        <v>87</v>
      </c>
      <c r="E49">
        <v>94</v>
      </c>
      <c r="F49">
        <v>91</v>
      </c>
      <c r="G49">
        <v>91</v>
      </c>
      <c r="H49">
        <v>62</v>
      </c>
      <c r="I49">
        <v>64</v>
      </c>
      <c r="J49">
        <v>68.75</v>
      </c>
    </row>
    <row r="50" spans="1:10" x14ac:dyDescent="0.2">
      <c r="A50" t="s">
        <v>144</v>
      </c>
      <c r="B50" t="s">
        <v>145</v>
      </c>
      <c r="C50" t="s">
        <v>146</v>
      </c>
      <c r="D50">
        <v>70</v>
      </c>
      <c r="E50">
        <v>61</v>
      </c>
      <c r="F50">
        <v>56</v>
      </c>
      <c r="G50">
        <v>78</v>
      </c>
      <c r="H50">
        <v>68</v>
      </c>
      <c r="I50">
        <v>82</v>
      </c>
      <c r="J50">
        <v>74.650000000000006</v>
      </c>
    </row>
    <row r="51" spans="1:10" x14ac:dyDescent="0.2">
      <c r="A51" t="s">
        <v>147</v>
      </c>
      <c r="B51" t="s">
        <v>148</v>
      </c>
      <c r="C51" t="s">
        <v>149</v>
      </c>
      <c r="D51">
        <v>78</v>
      </c>
      <c r="E51">
        <v>52</v>
      </c>
      <c r="F51">
        <v>88</v>
      </c>
      <c r="G51">
        <v>53</v>
      </c>
      <c r="H51">
        <v>97</v>
      </c>
      <c r="I51">
        <v>55</v>
      </c>
      <c r="J51">
        <v>70.150000000000006</v>
      </c>
    </row>
    <row r="52" spans="1:10" x14ac:dyDescent="0.2">
      <c r="A52" t="s">
        <v>150</v>
      </c>
      <c r="B52" t="s">
        <v>151</v>
      </c>
      <c r="C52" t="s">
        <v>152</v>
      </c>
      <c r="D52">
        <v>56</v>
      </c>
      <c r="E52">
        <v>48</v>
      </c>
      <c r="F52">
        <v>49</v>
      </c>
      <c r="G52">
        <v>63</v>
      </c>
      <c r="H52">
        <v>59</v>
      </c>
      <c r="I52">
        <v>96</v>
      </c>
      <c r="J52">
        <v>76.5</v>
      </c>
    </row>
    <row r="53" spans="1:10" x14ac:dyDescent="0.2">
      <c r="A53" t="s">
        <v>153</v>
      </c>
      <c r="B53" t="s">
        <v>154</v>
      </c>
      <c r="C53" t="s">
        <v>155</v>
      </c>
      <c r="D53">
        <v>52</v>
      </c>
      <c r="E53">
        <v>89</v>
      </c>
      <c r="F53">
        <v>80</v>
      </c>
      <c r="G53">
        <v>46</v>
      </c>
      <c r="H53">
        <v>85</v>
      </c>
      <c r="I53">
        <v>60</v>
      </c>
      <c r="J53">
        <v>68.849999999999994</v>
      </c>
    </row>
    <row r="54" spans="1:10" x14ac:dyDescent="0.2">
      <c r="A54" t="s">
        <v>156</v>
      </c>
      <c r="B54" t="s">
        <v>157</v>
      </c>
      <c r="C54" t="s">
        <v>158</v>
      </c>
      <c r="D54">
        <v>66</v>
      </c>
      <c r="E54">
        <v>70</v>
      </c>
      <c r="F54">
        <v>86</v>
      </c>
      <c r="G54">
        <v>81</v>
      </c>
      <c r="H54">
        <v>57</v>
      </c>
      <c r="I54">
        <v>69</v>
      </c>
      <c r="J54">
        <v>66.75</v>
      </c>
    </row>
    <row r="55" spans="1:10" x14ac:dyDescent="0.2">
      <c r="A55" t="s">
        <v>159</v>
      </c>
      <c r="B55" t="s">
        <v>160</v>
      </c>
      <c r="C55" t="s">
        <v>161</v>
      </c>
      <c r="D55">
        <v>57</v>
      </c>
      <c r="E55">
        <v>95</v>
      </c>
      <c r="F55">
        <v>50</v>
      </c>
      <c r="G55">
        <v>65</v>
      </c>
      <c r="H55">
        <v>75</v>
      </c>
      <c r="I55">
        <v>68</v>
      </c>
      <c r="J55">
        <v>69.849999999999994</v>
      </c>
    </row>
  </sheetData>
  <mergeCells count="3">
    <mergeCell ref="A1:C1"/>
    <mergeCell ref="A2:C2"/>
    <mergeCell ref="A3:C3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Index</vt:lpstr>
      <vt:lpstr>Data</vt:lpstr>
      <vt:lpstr>Assignment1</vt:lpstr>
      <vt:lpstr>Assignment2</vt:lpstr>
      <vt:lpstr>Assignment3</vt:lpstr>
      <vt:lpstr>Assignment4</vt:lpstr>
      <vt:lpstr>Exam</vt:lpstr>
      <vt:lpstr>GPA</vt:lpstr>
      <vt:lpstr>MidTerm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 Wang</dc:creator>
  <cp:lastModifiedBy>Yang Wang</cp:lastModifiedBy>
  <dcterms:created xsi:type="dcterms:W3CDTF">2022-03-17T00:36:41Z</dcterms:created>
  <dcterms:modified xsi:type="dcterms:W3CDTF">2022-03-21T07:38:11Z</dcterms:modified>
</cp:coreProperties>
</file>